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 Storage\Repositories\Finance\Lattice\example\"/>
    </mc:Choice>
  </mc:AlternateContent>
  <xr:revisionPtr revIDLastSave="0" documentId="13_ncr:1_{E97F3838-F80A-442A-8C57-22FC9F34EBF9}" xr6:coauthVersionLast="47" xr6:coauthVersionMax="47" xr10:uidLastSave="{00000000-0000-0000-0000-000000000000}"/>
  <bookViews>
    <workbookView xWindow="51495" yWindow="342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G14" i="1"/>
  <c r="D13" i="1"/>
  <c r="D9" i="1"/>
  <c r="H6" i="1"/>
  <c r="H3" i="1"/>
  <c r="J34" i="1" a="1"/>
  <c r="F34" i="1" a="1"/>
  <c r="B34" i="1" a="1"/>
  <c r="D3" i="1"/>
  <c r="D10" i="1" l="1"/>
  <c r="D18" i="1"/>
  <c r="L39" i="1" a="1"/>
  <c r="L38" i="1" a="1"/>
  <c r="C16" i="1" l="1"/>
  <c r="D41" i="1" a="1"/>
  <c r="D40" i="1" a="1"/>
  <c r="L42" i="1" a="1"/>
  <c r="L41" i="1" a="1"/>
  <c r="L37" i="1" a="1"/>
  <c r="L36" i="1" a="1"/>
  <c r="L35" i="1" a="1"/>
  <c r="L40" i="1" a="1"/>
  <c r="L34" i="1" a="1"/>
  <c r="H36" i="1" a="1"/>
  <c r="H37" i="1" a="1"/>
  <c r="H35" i="1" a="1"/>
  <c r="H34" i="1" a="1"/>
  <c r="H42" i="1" a="1"/>
  <c r="H41" i="1" a="1"/>
  <c r="H40" i="1" a="1"/>
  <c r="H39" i="1" a="1"/>
  <c r="H38" i="1" a="1"/>
  <c r="D35" i="1" l="1" a="1"/>
  <c r="D38" i="1" a="1"/>
  <c r="D39" i="1" a="1"/>
  <c r="D42" i="1" a="1"/>
  <c r="D34" i="1" a="1"/>
  <c r="D37" i="1" a="1"/>
  <c r="D36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<sst xmlns="http://schemas.openxmlformats.org/spreadsheetml/2006/main" count="27" uniqueCount="12">
  <si>
    <t>Cash</t>
  </si>
  <si>
    <t>Opening Balance</t>
  </si>
  <si>
    <t>A (Currency)</t>
  </si>
  <si>
    <t>B (Currency)</t>
  </si>
  <si>
    <t>C (Inventory)</t>
  </si>
  <si>
    <t>Accounts Payable</t>
  </si>
  <si>
    <t>Transfers to B</t>
  </si>
  <si>
    <t>Capital Gains from Disposition of B</t>
  </si>
  <si>
    <t>Capital Loss from Disposition of B</t>
  </si>
  <si>
    <t>Transfers from B</t>
  </si>
  <si>
    <t>Transfers from A</t>
  </si>
  <si>
    <t>Transfers 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</si>
</sst>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2"/>
  <sheetViews>
    <sheetView tabSelected="1" topLeftCell="A7" workbookViewId="0">
      <selection activeCell="B28" sqref="B28"/>
    </sheetView>
  </sheetViews>
  <sheetFormatPr defaultRowHeight="15" x14ac:dyDescent="0.25"/>
  <cols>
    <col min="2" max="2" width="43.5703125" customWidth="1"/>
    <col min="3" max="4" width="13" customWidth="1"/>
    <col min="6" max="6" width="43.5703125" customWidth="1"/>
    <col min="7" max="8" width="13" customWidth="1"/>
    <col min="10" max="10" width="43.5703125" customWidth="1"/>
    <col min="11" max="12" width="13" customWidth="1"/>
  </cols>
  <sheetData>
    <row r="1" spans="2:12" x14ac:dyDescent="0.25">
      <c r="B1" s="3" t="s">
        <v>2</v>
      </c>
      <c r="C1" s="3"/>
      <c r="D1" s="3"/>
      <c r="F1" s="3" t="s">
        <v>3</v>
      </c>
      <c r="G1" s="3"/>
      <c r="H1" s="3"/>
      <c r="J1" s="3" t="s">
        <v>4</v>
      </c>
      <c r="K1" s="3"/>
      <c r="L1" s="3"/>
    </row>
    <row r="2" spans="2:12" x14ac:dyDescent="0.25">
      <c r="B2" t="s">
        <v>0</v>
      </c>
      <c r="C2">
        <v>1000</v>
      </c>
      <c r="F2" t="s">
        <v>0</v>
      </c>
      <c r="G2">
        <v>250</v>
      </c>
    </row>
    <row r="3" spans="2:12" x14ac:dyDescent="0.25">
      <c r="B3" s="1" t="s">
        <v>1</v>
      </c>
      <c r="D3">
        <f>C2</f>
        <v>1000</v>
      </c>
      <c r="F3" s="1" t="s">
        <v>10</v>
      </c>
      <c r="H3">
        <f>G2</f>
        <v>250</v>
      </c>
      <c r="J3" s="1"/>
    </row>
    <row r="5" spans="2:12" x14ac:dyDescent="0.25">
      <c r="B5" t="s">
        <v>6</v>
      </c>
      <c r="C5">
        <v>500</v>
      </c>
      <c r="F5" t="s">
        <v>10</v>
      </c>
      <c r="G5">
        <v>250</v>
      </c>
    </row>
    <row r="6" spans="2:12" x14ac:dyDescent="0.25">
      <c r="B6" s="1" t="s">
        <v>0</v>
      </c>
      <c r="D6">
        <v>500</v>
      </c>
      <c r="F6" s="1" t="s">
        <v>0</v>
      </c>
      <c r="H6">
        <f>G5</f>
        <v>250</v>
      </c>
      <c r="J6" s="1"/>
    </row>
    <row r="8" spans="2:12" x14ac:dyDescent="0.25">
      <c r="B8" t="s">
        <v>0</v>
      </c>
      <c r="C8">
        <v>550</v>
      </c>
      <c r="F8" t="s">
        <v>0</v>
      </c>
      <c r="G8">
        <v>250</v>
      </c>
    </row>
    <row r="9" spans="2:12" x14ac:dyDescent="0.25">
      <c r="B9" s="1" t="s">
        <v>6</v>
      </c>
      <c r="D9">
        <f>C5</f>
        <v>500</v>
      </c>
      <c r="F9" s="1" t="s">
        <v>10</v>
      </c>
      <c r="H9">
        <v>250</v>
      </c>
      <c r="J9" s="1"/>
    </row>
    <row r="10" spans="2:12" x14ac:dyDescent="0.25">
      <c r="B10" s="1" t="s">
        <v>7</v>
      </c>
      <c r="D10">
        <f>C8-D9</f>
        <v>50</v>
      </c>
    </row>
    <row r="11" spans="2:12" x14ac:dyDescent="0.25">
      <c r="F11" t="s">
        <v>0</v>
      </c>
      <c r="G11">
        <v>250</v>
      </c>
    </row>
    <row r="12" spans="2:12" x14ac:dyDescent="0.25">
      <c r="B12" t="s">
        <v>6</v>
      </c>
      <c r="C12">
        <v>500</v>
      </c>
      <c r="F12" s="1" t="s">
        <v>5</v>
      </c>
      <c r="H12">
        <v>250</v>
      </c>
    </row>
    <row r="13" spans="2:12" x14ac:dyDescent="0.25">
      <c r="B13" s="1" t="s">
        <v>0</v>
      </c>
      <c r="D13">
        <f>C12</f>
        <v>500</v>
      </c>
    </row>
    <row r="14" spans="2:12" x14ac:dyDescent="0.25">
      <c r="B14" s="1"/>
      <c r="F14" t="s">
        <v>10</v>
      </c>
      <c r="G14">
        <f>H9</f>
        <v>250</v>
      </c>
    </row>
    <row r="15" spans="2:12" x14ac:dyDescent="0.25">
      <c r="B15" s="2" t="s">
        <v>0</v>
      </c>
      <c r="C15">
        <v>800</v>
      </c>
      <c r="F15" t="s">
        <v>11</v>
      </c>
      <c r="G15">
        <v>250</v>
      </c>
    </row>
    <row r="16" spans="2:12" x14ac:dyDescent="0.25">
      <c r="B16" t="s">
        <v>8</v>
      </c>
      <c r="C16">
        <f>SUM(D17:D18)-C15</f>
        <v>100</v>
      </c>
      <c r="F16" s="1" t="s">
        <v>0</v>
      </c>
      <c r="H16">
        <v>500</v>
      </c>
    </row>
    <row r="17" spans="2:6" x14ac:dyDescent="0.25">
      <c r="B17" s="1" t="s">
        <v>6</v>
      </c>
      <c r="D17">
        <f>C12</f>
        <v>500</v>
      </c>
    </row>
    <row r="18" spans="2:6" x14ac:dyDescent="0.25">
      <c r="B18" s="1" t="s">
        <v>9</v>
      </c>
      <c r="D18">
        <f>C15*(G15/SUM(G14:G15))</f>
        <v>400</v>
      </c>
    </row>
    <row r="19" spans="2:6" x14ac:dyDescent="0.25">
      <c r="F19" s="2"/>
    </row>
    <row r="20" spans="2:6" x14ac:dyDescent="0.25">
      <c r="B20" s="2"/>
      <c r="F20" s="1"/>
    </row>
    <row r="21" spans="2:6" x14ac:dyDescent="0.25">
      <c r="F21" s="1"/>
    </row>
    <row r="22" spans="2:6" x14ac:dyDescent="0.25">
      <c r="B22" s="1"/>
    </row>
    <row r="34" spans="2:12" x14ac:dyDescent="0.25">
      <c r="B34" t="str" cm="1">
        <f t="array" ref="B34:B39">_xlfn.LET(_xlpm.x,_xlfn.UNIQUE(B$2:B$33),_xlfn._xlws.FILTER(_xlpm.x,_xlpm.x&lt;&gt;0))</f>
        <v>Cash</v>
      </c>
      <c r="D34" cm="1">
        <f t="array" ref="D34">SUMPRODUCT(--(B34=B$2:B$33),C$2:C$33-D$2:D$33)</f>
        <v>1350</v>
      </c>
      <c r="F34" t="str" cm="1">
        <f t="array" ref="F34:F37">_xlfn.LET(_xlpm.x,_xlfn.UNIQUE(F$2:F$33),_xlfn._xlws.FILTER(_xlpm.x,_xlpm.x&lt;&gt;0))</f>
        <v>Cash</v>
      </c>
      <c r="H34" cm="1">
        <f t="array" ref="H34">SUMPRODUCT(--(F34=F$2:F$33),G$2:G$33-H$2:H$33)</f>
        <v>0</v>
      </c>
      <c r="J34" t="e" cm="1" vm="1">
        <f t="array" ref="J34">_xlfn.LET(_xlpm.x,_xlfn.UNIQUE(J$2:J$33),_xlfn._xlws.FILTER(_xlpm.x,_xlpm.x&lt;&gt;0))</f>
        <v>#VALUE!</v>
      </c>
      <c r="L34" t="e" cm="1" vm="2">
        <f t="array" ref="L34">SUMPRODUCT(--(J34=J$2:J$33),K$2:K$33-L$2:L$33)</f>
        <v>#VALUE!</v>
      </c>
    </row>
    <row r="35" spans="2:12" x14ac:dyDescent="0.25">
      <c r="B35" t="str">
        <v>Opening Balance</v>
      </c>
      <c r="D35" cm="1">
        <f t="array" ref="D35">SUMPRODUCT(--(B35=B$2:B$33),C$2:C$33-D$2:D$33)</f>
        <v>-1000</v>
      </c>
      <c r="F35" t="str">
        <v>Transfers from A</v>
      </c>
      <c r="H35" cm="1">
        <f t="array" ref="H35">SUMPRODUCT(--(F35=F$2:F$33),G$2:G$33-H$2:H$33)</f>
        <v>0</v>
      </c>
      <c r="L35" cm="1">
        <f t="array" ref="L35">SUMPRODUCT(--(J35=J$2:J$33),K$2:K$33-L$2:L$33)</f>
        <v>0</v>
      </c>
    </row>
    <row r="36" spans="2:12" x14ac:dyDescent="0.25">
      <c r="B36" t="str">
        <v>Transfers to B</v>
      </c>
      <c r="D36" cm="1">
        <f t="array" ref="D36">SUMPRODUCT(--(B36=B$2:B$33),C$2:C$33-D$2:D$33)</f>
        <v>0</v>
      </c>
      <c r="F36" t="str">
        <v>Accounts Payable</v>
      </c>
      <c r="H36" cm="1">
        <f t="array" ref="H36">SUMPRODUCT(--(F36=F$2:F$33),G$2:G$33-H$2:H$33)</f>
        <v>-250</v>
      </c>
      <c r="L36" cm="1">
        <f t="array" ref="L36">SUMPRODUCT(--(J36=J$2:J$33),K$2:K$33-L$2:L$33)</f>
        <v>0</v>
      </c>
    </row>
    <row r="37" spans="2:12" x14ac:dyDescent="0.25">
      <c r="B37" t="str">
        <v>Capital Gains from Disposition of B</v>
      </c>
      <c r="D37" cm="1">
        <f t="array" ref="D37">SUMPRODUCT(--(B37=B$2:B$33),C$2:C$33-D$2:D$33)</f>
        <v>-50</v>
      </c>
      <c r="F37" t="str">
        <v>Transfers to A</v>
      </c>
      <c r="H37" cm="1">
        <f t="array" ref="H37">SUMPRODUCT(--(F37=F$2:F$33),G$2:G$33-H$2:H$33)</f>
        <v>250</v>
      </c>
      <c r="L37" cm="1">
        <f t="array" ref="L37">SUMPRODUCT(--(J37=J$2:J$33),K$2:K$33-L$2:L$33)</f>
        <v>0</v>
      </c>
    </row>
    <row r="38" spans="2:12" x14ac:dyDescent="0.25">
      <c r="B38" t="str">
        <v>Capital Loss from Disposition of B</v>
      </c>
      <c r="D38" cm="1">
        <f t="array" ref="D38">SUMPRODUCT(--(B38=B$2:B$33),C$2:C$33-D$2:D$33)</f>
        <v>100</v>
      </c>
      <c r="H38" cm="1">
        <f t="array" ref="H38">SUMPRODUCT(--(F38=F$2:F$33),G$2:G$33-H$2:H$33)</f>
        <v>0</v>
      </c>
      <c r="L38" cm="1">
        <f t="array" ref="L38">SUMPRODUCT(--(J38=J$2:J$33),K$2:K$33-L$2:L$33)</f>
        <v>0</v>
      </c>
    </row>
    <row r="39" spans="2:12" x14ac:dyDescent="0.25">
      <c r="B39" t="str">
        <v>Transfers from B</v>
      </c>
      <c r="D39" cm="1">
        <f t="array" ref="D39">SUMPRODUCT(--(B39=B$2:B$33),C$2:C$33-D$2:D$33)</f>
        <v>-400</v>
      </c>
      <c r="H39" cm="1">
        <f t="array" ref="H39">SUMPRODUCT(--(F39=F$2:F$33),G$2:G$33-H$2:H$33)</f>
        <v>0</v>
      </c>
      <c r="L39" cm="1">
        <f t="array" ref="L39">SUMPRODUCT(--(J39=J$2:J$33),K$2:K$33-L$2:L$33)</f>
        <v>0</v>
      </c>
    </row>
    <row r="40" spans="2:12" x14ac:dyDescent="0.25">
      <c r="D40" cm="1">
        <f t="array" ref="D40">SUMPRODUCT(--(B40=B$2:B$33),C$2:C$33-D$2:D$33)</f>
        <v>0</v>
      </c>
      <c r="H40" cm="1">
        <f t="array" ref="H40">SUMPRODUCT(--(F40=F$2:F$33),G$2:G$33-H$2:H$33)</f>
        <v>0</v>
      </c>
      <c r="L40" cm="1">
        <f t="array" ref="L40">SUMPRODUCT(--(J40=J$2:J$33),K$2:K$33-L$2:L$33)</f>
        <v>0</v>
      </c>
    </row>
    <row r="41" spans="2:12" x14ac:dyDescent="0.25">
      <c r="D41" cm="1">
        <f t="array" ref="D41">SUMPRODUCT(--(B41=B$2:B$33),C$2:C$33-D$2:D$33)</f>
        <v>0</v>
      </c>
      <c r="H41" cm="1">
        <f t="array" ref="H41">SUMPRODUCT(--(F41=F$2:F$33),G$2:G$33-H$2:H$33)</f>
        <v>0</v>
      </c>
      <c r="L41" cm="1">
        <f t="array" ref="L41">SUMPRODUCT(--(J41=J$2:J$33),K$2:K$33-L$2:L$33)</f>
        <v>0</v>
      </c>
    </row>
    <row r="42" spans="2:12" x14ac:dyDescent="0.25">
      <c r="D42" cm="1">
        <f t="array" ref="D42">SUMPRODUCT(--(B42=B$2:B$33),C$2:C$33-D$2:D$33)</f>
        <v>0</v>
      </c>
      <c r="H42" cm="1">
        <f t="array" ref="H42">SUMPRODUCT(--(F42=F$2:F$33),G$2:G$33-H$2:H$33)</f>
        <v>0</v>
      </c>
      <c r="L42" cm="1">
        <f t="array" ref="L42">SUMPRODUCT(--(J42=J$2:J$33),K$2:K$33-L$2:L$33)</f>
        <v>0</v>
      </c>
    </row>
  </sheetData>
  <mergeCells count="3">
    <mergeCell ref="B1:D1"/>
    <mergeCell ref="F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2015-06-05T18:17:20Z</dcterms:created>
  <dcterms:modified xsi:type="dcterms:W3CDTF">2026-07-04T19:02:53Z</dcterms:modified>
</cp:coreProperties>
</file>